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driver\"/>
    </mc:Choice>
  </mc:AlternateContent>
  <xr:revisionPtr revIDLastSave="0" documentId="13_ncr:1_{E6D36EF7-93D0-4A1F-B64F-615BE461684C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Using Formulas" sheetId="5" r:id="rId1"/>
    <sheet name="WS" sheetId="6" state="hidden" r:id="rId2"/>
    <sheet name="Using Macros" sheetId="4" r:id="rId3"/>
    <sheet name="Raw Data" sheetId="2" r:id="rId4"/>
    <sheet name="Helper" sheetId="7" r:id="rId5"/>
  </sheets>
  <definedNames>
    <definedName name="_xlnm._FilterDatabase" localSheetId="3" hidden="1">'Raw Data'!$A$1:$D$49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5" l="1" a="1"/>
  <c r="F12" i="5" s="1"/>
  <c r="H12" i="5" s="1" a="1"/>
  <c r="H12" i="5" s="1"/>
  <c r="B1" i="6" a="1"/>
  <c r="B1" i="6" s="1"/>
  <c r="A1" i="6" a="1"/>
  <c r="A1" i="6" s="1"/>
  <c r="N14" i="5" l="1" a="1"/>
  <c r="N14" i="5" s="1"/>
  <c r="H14" i="5" a="1"/>
  <c r="H14" i="5" s="1"/>
  <c r="H15" i="5" a="1"/>
  <c r="H15" i="5" s="1"/>
  <c r="N15" i="5" a="1"/>
  <c r="N15" i="5" s="1"/>
  <c r="N13" i="5" a="1"/>
  <c r="N13" i="5" s="1"/>
  <c r="H13" i="5" a="1"/>
  <c r="H13" i="5" s="1"/>
  <c r="P15" i="5" l="1"/>
  <c r="P14" i="5"/>
  <c r="N12" i="5" a="1"/>
  <c r="N12" i="5" s="1"/>
  <c r="P13" i="5"/>
  <c r="P12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<sst xmlns="http://schemas.openxmlformats.org/spreadsheetml/2006/main" count="224" uniqueCount="38">
  <si>
    <t>Department</t>
  </si>
  <si>
    <t>LOB</t>
  </si>
  <si>
    <t>SDU</t>
  </si>
  <si>
    <t>Output Model</t>
  </si>
  <si>
    <t>FTE Model</t>
  </si>
  <si>
    <t>OPEX</t>
  </si>
  <si>
    <t>Regular</t>
  </si>
  <si>
    <t>Project Based</t>
  </si>
  <si>
    <t>TALENT</t>
  </si>
  <si>
    <t>Hiring</t>
  </si>
  <si>
    <t>Comp &amp; Ben</t>
  </si>
  <si>
    <t>Analytics</t>
  </si>
  <si>
    <t>Learning &amp; Development</t>
  </si>
  <si>
    <t>ADMIN</t>
  </si>
  <si>
    <t>Internal</t>
  </si>
  <si>
    <t>Outsourced</t>
  </si>
  <si>
    <t>FINANCE</t>
  </si>
  <si>
    <t>External</t>
  </si>
  <si>
    <t>Compensation (in $ million)</t>
  </si>
  <si>
    <t>Budget</t>
  </si>
  <si>
    <t>3+9 Forecast</t>
  </si>
  <si>
    <t>6+6 Forecast</t>
  </si>
  <si>
    <t>Actual</t>
  </si>
  <si>
    <t>Data Type</t>
  </si>
  <si>
    <t>Instructions:</t>
  </si>
  <si>
    <t>3. Basis selection of Department, respective LOBs should auto populate in column F</t>
  </si>
  <si>
    <t>4. Based on the Department, LOB, actual compensation data should populate in column H</t>
  </si>
  <si>
    <t>5. Provide dropdown to select Data type i.e. Budget, 3+9 Forecast, 6+6 Forecast in columns K and N</t>
  </si>
  <si>
    <t>6. Based on the selection, the respective compensation should appear for the Department/LOB and % comparison against Actual should appear</t>
  </si>
  <si>
    <t>1. Create a Department, LOB level compensation comparison template referring to the raw data using Macros</t>
  </si>
  <si>
    <t>2. Create a dropdown to choose the Department in column D</t>
  </si>
  <si>
    <t>1. Create a Department, LOB level compensation comparison template referring to the raw data using Formulas</t>
  </si>
  <si>
    <t>Comparision</t>
  </si>
  <si>
    <t>Dept</t>
  </si>
  <si>
    <t>SubLOB</t>
  </si>
  <si>
    <t>Type</t>
  </si>
  <si>
    <t>Comparision %</t>
  </si>
  <si>
    <t>Actual Compensation (in $ 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</si>
</sst>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000000"/>
      <name val="Arial"/>
      <family val="2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682B4"/>
        <bgColor rgb="FF4682B4"/>
      </patternFill>
    </fill>
  </fills>
  <borders count="3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">
    <xf numFmtId="0" fontId="0" fillId="0" borderId="0" xfId="0"/>
    <xf numFmtId="0" fontId="1" fillId="2" borderId="1" xfId="0" applyFont="1" applyFill="1" applyBorder="1" applyAlignment="1">
      <alignment horizontal="left" vertical="center" readingOrder="1"/>
    </xf>
    <xf numFmtId="0" fontId="2" fillId="0" borderId="1" xfId="0" applyFont="1" applyBorder="1" applyAlignment="1">
      <alignment horizontal="left" vertical="center" readingOrder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10" fontId="0" fillId="0" borderId="0" xfId="1" applyNumberFormat="1" applyFont="1"/>
    <xf numFmtId="0" fontId="1" fillId="2" borderId="2" xfId="0" applyFont="1" applyFill="1" applyBorder="1" applyAlignment="1">
      <alignment horizontal="center" vertical="center" readingOrder="1"/>
    </xf>
    <xf numFmtId="0" fontId="0" fillId="0" borderId="2" xfId="0" applyBorder="1" applyAlignment="1">
      <alignment horizontal="center"/>
    </xf>
    <xf numFmtId="10" fontId="0" fillId="0" borderId="2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18B6-5966-4213-9DEF-A2DEED4044C0}">
  <sheetPr codeName="Sheet1"/>
  <dimension ref="B1:P15"/>
  <sheetViews>
    <sheetView showGridLines="0" workbookViewId="0">
      <selection activeCell="G19" sqref="G19"/>
    </sheetView>
  </sheetViews>
  <sheetFormatPr defaultRowHeight="15" x14ac:dyDescent="0.25"/>
  <cols>
    <col min="4" max="4" width="10.28515625" bestFit="1" customWidth="1"/>
    <col min="6" max="6" width="23.42578125" bestFit="1" customWidth="1"/>
    <col min="11" max="11" width="11.85546875" bestFit="1" customWidth="1"/>
    <col min="16" max="16" width="11.140625" bestFit="1" customWidth="1"/>
  </cols>
  <sheetData>
    <row r="1" spans="2:16" x14ac:dyDescent="0.25">
      <c r="C1" s="3"/>
    </row>
    <row r="2" spans="2:16" x14ac:dyDescent="0.25">
      <c r="B2" s="5" t="s">
        <v>24</v>
      </c>
      <c r="C2" s="4" t="s">
        <v>31</v>
      </c>
    </row>
    <row r="3" spans="2:16" x14ac:dyDescent="0.25">
      <c r="C3" s="4" t="s">
        <v>30</v>
      </c>
    </row>
    <row r="4" spans="2:16" x14ac:dyDescent="0.25">
      <c r="C4" s="4" t="s">
        <v>25</v>
      </c>
    </row>
    <row r="5" spans="2:16" x14ac:dyDescent="0.25">
      <c r="C5" s="4" t="s">
        <v>26</v>
      </c>
    </row>
    <row r="6" spans="2:16" x14ac:dyDescent="0.25">
      <c r="C6" s="4" t="s">
        <v>27</v>
      </c>
    </row>
    <row r="7" spans="2:16" x14ac:dyDescent="0.25">
      <c r="C7" s="4" t="s">
        <v>28</v>
      </c>
    </row>
    <row r="8" spans="2:16" x14ac:dyDescent="0.25">
      <c r="C8" s="4"/>
    </row>
    <row r="9" spans="2:16" x14ac:dyDescent="0.25">
      <c r="C9" s="4"/>
    </row>
    <row r="10" spans="2:16" x14ac:dyDescent="0.25">
      <c r="C10" s="4"/>
    </row>
    <row r="11" spans="2:16" x14ac:dyDescent="0.25">
      <c r="D11" s="7" t="s">
        <v>0</v>
      </c>
      <c r="E11" s="8"/>
      <c r="F11" s="7" t="s">
        <v>1</v>
      </c>
      <c r="G11" s="8"/>
      <c r="H11" s="7" t="s">
        <v>22</v>
      </c>
      <c r="I11" s="8"/>
      <c r="J11" s="8"/>
      <c r="K11" s="7" t="s">
        <v>23</v>
      </c>
      <c r="L11" s="8"/>
      <c r="M11" s="8"/>
      <c r="N11" s="7" t="s">
        <v>23</v>
      </c>
      <c r="O11" s="8"/>
      <c r="P11" s="7" t="s">
        <v>32</v>
      </c>
    </row>
    <row r="12" spans="2:16" x14ac:dyDescent="0.25">
      <c r="D12" s="8" t="s">
        <v>13</v>
      </c>
      <c r="E12" s="8"/>
      <c r="F12" s="8" t="str" cm="1">
        <f t="array" ref="F12:F13">_xlfn.UNIQUE((_xlfn.CHOOSECOLS(_xlfn._xlws.FILTER('Raw Data'!A:D,('Raw Data'!A:A='Using Formulas'!D12)),2)))</f>
        <v>Internal</v>
      </c>
      <c r="G12" s="8"/>
      <c r="H12" s="8" cm="1">
        <f t="array" ref="H12">IFERROR(_xlfn.CHOOSECOLS(_xlfn._xlws.FILTER('Raw Data'!$A$1:$D$49,('Raw Data'!$A$1:$A$49='Using Formulas'!$D$12)*('Raw Data'!$B$1:$B$49='Using Formulas'!F12)*('Raw Data'!$C$1:$C$49 = $H$11),""),4),"")</f>
        <v>1.5</v>
      </c>
      <c r="I12" s="8"/>
      <c r="J12" s="8"/>
      <c r="K12" s="8" t="s">
        <v>19</v>
      </c>
      <c r="L12" s="8"/>
      <c r="M12" s="8"/>
      <c r="N12" s="8" cm="1">
        <f t="array" ref="N12">IFERROR(_xlfn.CHOOSECOLS(_xlfn._xlws.FILTER('Raw Data'!$A$1:$D$49,('Raw Data'!$A$1:$A$49='Using Formulas'!$D$12)*('Raw Data'!$B$1:$B$49='Using Formulas'!F12)*('Raw Data'!$C$1:$C$49 = K12),""),4),"")</f>
        <v>0.6</v>
      </c>
      <c r="O12" s="8"/>
      <c r="P12" s="9">
        <f>IFERROR(1/N12*H12,"")</f>
        <v>2.5</v>
      </c>
    </row>
    <row r="13" spans="2:16" x14ac:dyDescent="0.25">
      <c r="D13" s="8"/>
      <c r="E13" s="8"/>
      <c r="F13" s="8" t="str">
        <v>Outsourced</v>
      </c>
      <c r="G13" s="8"/>
      <c r="H13" s="8" cm="1">
        <f t="array" ref="H13">IFERROR(_xlfn.CHOOSECOLS(_xlfn._xlws.FILTER('Raw Data'!$A$1:$D$49,('Raw Data'!$A$1:$A$49='Using Formulas'!$D$12)*('Raw Data'!$B$1:$B$49='Using Formulas'!F13)*('Raw Data'!$C$1:$C$49 = $H$11),""),4),"")</f>
        <v>0.8</v>
      </c>
      <c r="I13" s="8"/>
      <c r="J13" s="8"/>
      <c r="K13" s="8" t="s">
        <v>20</v>
      </c>
      <c r="L13" s="8"/>
      <c r="M13" s="8"/>
      <c r="N13" s="8" cm="1">
        <f t="array" ref="N13">IFERROR(_xlfn.CHOOSECOLS(_xlfn._xlws.FILTER('Raw Data'!$A$1:$D$49,('Raw Data'!$A$1:$A$49='Using Formulas'!$D$12)*('Raw Data'!$B$1:$B$49='Using Formulas'!F13)*('Raw Data'!$C$1:$C$49 = K13),""),4),"")</f>
        <v>1.48</v>
      </c>
      <c r="O13" s="8"/>
      <c r="P13" s="9">
        <f t="shared" ref="P13:P15" si="0">IFERROR(1/N13*H13,"")</f>
        <v>0.54054054054054057</v>
      </c>
    </row>
    <row r="14" spans="2:16" x14ac:dyDescent="0.25">
      <c r="D14" s="8"/>
      <c r="E14" s="8"/>
      <c r="F14" s="8"/>
      <c r="G14" s="8"/>
      <c r="H14" s="8" t="str" cm="1">
        <f t="array" ref="H14">IFERROR(_xlfn.CHOOSECOLS(_xlfn._xlws.FILTER('Raw Data'!$A$1:$D$49,('Raw Data'!$A$1:$A$49='Using Formulas'!$D$12)*('Raw Data'!$B$1:$B$49='Using Formulas'!F14)*('Raw Data'!$C$1:$C$49 = $H$11),""),4),"")</f>
        <v/>
      </c>
      <c r="I14" s="8"/>
      <c r="J14" s="8"/>
      <c r="K14" s="8" t="s">
        <v>20</v>
      </c>
      <c r="L14" s="8"/>
      <c r="M14" s="8"/>
      <c r="N14" s="8" t="str" cm="1">
        <f t="array" ref="N14">IFERROR(_xlfn.CHOOSECOLS(_xlfn._xlws.FILTER('Raw Data'!$A$1:$D$49,('Raw Data'!$A$1:$A$49='Using Formulas'!$D$12)*('Raw Data'!$B$1:$B$49='Using Formulas'!F14)*('Raw Data'!$C$1:$C$49 = K14),""),4),"")</f>
        <v/>
      </c>
      <c r="O14" s="8"/>
      <c r="P14" s="9" t="str">
        <f t="shared" si="0"/>
        <v/>
      </c>
    </row>
    <row r="15" spans="2:16" x14ac:dyDescent="0.25">
      <c r="D15" s="8"/>
      <c r="E15" s="8"/>
      <c r="F15" s="8"/>
      <c r="G15" s="8"/>
      <c r="H15" s="8" t="str" cm="1">
        <f t="array" ref="H15">IFERROR(_xlfn.CHOOSECOLS(_xlfn._xlws.FILTER('Raw Data'!$A$1:$D$49,('Raw Data'!$A$1:$A$49='Using Formulas'!$D$12)*('Raw Data'!$B$1:$B$49='Using Formulas'!F15)*('Raw Data'!$C$1:$C$49 = $H$11),""),4),"")</f>
        <v/>
      </c>
      <c r="I15" s="8"/>
      <c r="J15" s="8"/>
      <c r="K15" s="8" t="s">
        <v>21</v>
      </c>
      <c r="L15" s="8"/>
      <c r="M15" s="8"/>
      <c r="N15" s="8" t="str" cm="1">
        <f t="array" ref="N15">IFERROR(_xlfn.CHOOSECOLS(_xlfn._xlws.FILTER('Raw Data'!$A$1:$D$49,('Raw Data'!$A$1:$A$49='Using Formulas'!$D$12)*('Raw Data'!$B$1:$B$49='Using Formulas'!F15)*('Raw Data'!$C$1:$C$49 = K15),""),4),"")</f>
        <v/>
      </c>
      <c r="O15" s="8"/>
      <c r="P15" s="9" t="str">
        <f t="shared" si="0"/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245FB9-2322-43CB-AC26-104058AEA668}">
          <x14:formula1>
            <xm:f>WS!$A$2:$A$6</xm:f>
          </x14:formula1>
          <xm:sqref>D12</xm:sqref>
        </x14:dataValidation>
        <x14:dataValidation type="list" allowBlank="1" showInputMessage="1" showErrorMessage="1" xr:uid="{B0C3A1D1-AB67-4AC1-BFDE-6A11AC1BB49D}">
          <x14:formula1>
            <xm:f>WS!$B$2:$B$4</xm:f>
          </x14:formula1>
          <xm:sqref>K12:K15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62E2E-5DA3-4C2B-99A4-E1E4ED623C3F}">
  <sheetPr codeName="Sheet2"/>
  <dimension ref="A1:B7"/>
  <sheetViews>
    <sheetView workbookViewId="0">
      <selection activeCell="E8" sqref="E8"/>
    </sheetView>
  </sheetViews>
  <sheetFormatPr defaultRowHeight="15" x14ac:dyDescent="0.25"/>
  <cols>
    <col min="1" max="1" width="11.7109375" bestFit="1" customWidth="1"/>
  </cols>
  <sheetData>
    <row r="1" spans="1:2" x14ac:dyDescent="0.25">
      <c r="A1" t="str" cm="1">
        <f t="array" ref="A1:A7">_xlfn.UNIQUE('Raw Data'!A:A)</f>
        <v>Department</v>
      </c>
      <c r="B1" t="str" cm="1">
        <f t="array" ref="B1:B6">_xlfn.UNIQUE('Raw Data'!C:C)</f>
        <v>Data Type</v>
      </c>
    </row>
    <row r="2" spans="1:2" x14ac:dyDescent="0.25">
      <c r="A2" t="str">
        <v>SDU</v>
      </c>
      <c r="B2" t="str">
        <v>Budget</v>
      </c>
    </row>
    <row r="3" spans="1:2" x14ac:dyDescent="0.25">
      <c r="A3" t="str">
        <v>OPEX</v>
      </c>
      <c r="B3" t="str">
        <v>3+9 Forecast</v>
      </c>
    </row>
    <row r="4" spans="1:2" x14ac:dyDescent="0.25">
      <c r="A4" t="str">
        <v>TALENT</v>
      </c>
      <c r="B4" t="str">
        <v>6+6 Forecast</v>
      </c>
    </row>
    <row r="5" spans="1:2" x14ac:dyDescent="0.25">
      <c r="A5" t="str">
        <v>ADMIN</v>
      </c>
      <c r="B5" t="str">
        <v>Actual</v>
      </c>
    </row>
    <row r="6" spans="1:2" x14ac:dyDescent="0.25">
      <c r="A6" t="str">
        <v>FINANCE</v>
      </c>
      <c r="B6">
        <v>0</v>
      </c>
    </row>
    <row r="7" spans="1:2" x14ac:dyDescent="0.25">
      <c r="A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A20"/>
  <sheetViews>
    <sheetView showGridLines="0" tabSelected="1" topLeftCell="D5" workbookViewId="0">
      <selection activeCell="L17" sqref="L17"/>
    </sheetView>
  </sheetViews>
  <sheetFormatPr defaultRowHeight="15" x14ac:dyDescent="0.25"/>
  <cols>
    <col min="4" max="4" width="10.28515625" bestFit="1" customWidth="1"/>
    <col min="6" max="6" width="23.42578125" bestFit="1" customWidth="1"/>
    <col min="8" max="8" width="28.42578125" bestFit="1" customWidth="1"/>
    <col min="11" max="11" width="11.85546875" bestFit="1" customWidth="1"/>
    <col min="14" max="14" width="23" bestFit="1" customWidth="1"/>
    <col min="16" max="16" width="12.85546875" bestFit="1" customWidth="1"/>
  </cols>
  <sheetData>
    <row r="1" spans="2:27" x14ac:dyDescent="0.25">
      <c r="Z1" t="s">
        <v>0</v>
      </c>
      <c r="AA1" t="s">
        <v>23</v>
      </c>
    </row>
    <row r="2" spans="2:27" x14ac:dyDescent="0.25">
      <c r="B2" s="5" t="s">
        <v>24</v>
      </c>
      <c r="C2" s="4" t="s">
        <v>29</v>
      </c>
      <c r="Z2" t="s">
        <v>2</v>
      </c>
      <c r="AA2" t="s">
        <v>19</v>
      </c>
    </row>
    <row r="3" spans="2:27" x14ac:dyDescent="0.25">
      <c r="C3" s="4" t="s">
        <v>30</v>
      </c>
      <c r="Z3" t="s">
        <v>5</v>
      </c>
      <c r="AA3" t="s">
        <v>20</v>
      </c>
    </row>
    <row r="4" spans="2:27" x14ac:dyDescent="0.25">
      <c r="C4" s="4" t="s">
        <v>25</v>
      </c>
      <c r="Z4" t="s">
        <v>8</v>
      </c>
      <c r="AA4" t="s">
        <v>21</v>
      </c>
    </row>
    <row r="5" spans="2:27" x14ac:dyDescent="0.25">
      <c r="C5" s="4" t="s">
        <v>26</v>
      </c>
      <c r="Z5" t="s">
        <v>13</v>
      </c>
      <c r="AA5" t="s">
        <v>22</v>
      </c>
    </row>
    <row r="6" spans="2:27" x14ac:dyDescent="0.25">
      <c r="C6" s="4" t="s">
        <v>27</v>
      </c>
      <c r="Z6" t="s">
        <v>16</v>
      </c>
    </row>
    <row r="7" spans="2:27" x14ac:dyDescent="0.25">
      <c r="C7" s="4" t="s">
        <v>28</v>
      </c>
    </row>
    <row r="11" spans="2:27" x14ac:dyDescent="0.25">
      <c r="D11" s="7" t="s">
        <v>0</v>
      </c>
      <c r="E11" s="8"/>
      <c r="F11" s="7" t="s">
        <v>1</v>
      </c>
      <c r="G11" s="8"/>
      <c r="H11" s="7" t="s">
        <v>37</v>
      </c>
      <c r="I11" s="8"/>
      <c r="J11" s="8"/>
      <c r="K11" s="7" t="s">
        <v>23</v>
      </c>
      <c r="L11" s="8"/>
      <c r="M11" s="8"/>
      <c r="N11" s="7" t="s">
        <v>18</v>
      </c>
      <c r="O11" s="8"/>
      <c r="P11" s="7" t="s">
        <v>36</v>
      </c>
    </row>
    <row r="12" spans="2:27" x14ac:dyDescent="0.25">
      <c r="D12" s="8" t="s">
        <v>5</v>
      </c>
      <c r="E12" s="8"/>
      <c r="F12" s="8" t="s">
        <v>6</v>
      </c>
      <c r="G12" s="8"/>
      <c r="H12" s="8">
        <v>0.65</v>
      </c>
      <c r="I12" s="8"/>
      <c r="J12" s="8"/>
      <c r="K12" s="8" t="s">
        <v>20</v>
      </c>
      <c r="L12" s="8"/>
      <c r="M12" s="8"/>
      <c r="N12" s="8">
        <v>0.8</v>
      </c>
      <c r="O12" s="8"/>
      <c r="P12" s="9">
        <v>0.8125</v>
      </c>
    </row>
    <row r="13" spans="2:27" x14ac:dyDescent="0.25">
      <c r="D13" s="8"/>
      <c r="E13" s="8"/>
      <c r="F13" s="8" t="s">
        <v>7</v>
      </c>
      <c r="G13" s="8"/>
      <c r="H13" s="8">
        <v>0</v>
      </c>
      <c r="I13" s="8"/>
      <c r="J13" s="8"/>
      <c r="K13" s="8" t="s">
        <v>21</v>
      </c>
      <c r="L13" s="8"/>
      <c r="M13" s="8"/>
      <c r="N13" s="8">
        <v>0.01</v>
      </c>
      <c r="O13" s="8"/>
      <c r="P13" s="9">
        <v>0</v>
      </c>
    </row>
    <row r="14" spans="2:27" x14ac:dyDescent="0.25">
      <c r="D14" s="8"/>
      <c r="E14" s="8"/>
      <c r="F14" s="8"/>
      <c r="G14" s="8"/>
      <c r="H14" s="8"/>
      <c r="I14" s="8"/>
      <c r="J14" s="8"/>
      <c r="K14" s="8" t="s">
        <v>21</v>
      </c>
      <c r="L14" s="8"/>
      <c r="M14" s="8"/>
      <c r="N14" s="8"/>
      <c r="O14" s="8"/>
      <c r="P14" s="9"/>
    </row>
    <row r="15" spans="2:27" x14ac:dyDescent="0.25">
      <c r="D15" s="8"/>
      <c r="E15" s="8"/>
      <c r="F15" s="8"/>
      <c r="G15" s="8"/>
      <c r="H15" s="8"/>
      <c r="I15" s="8"/>
      <c r="J15" s="8"/>
      <c r="K15" s="8" t="s">
        <v>21</v>
      </c>
      <c r="L15" s="8"/>
      <c r="M15" s="8"/>
      <c r="N15" s="8"/>
      <c r="O15" s="8"/>
      <c r="P15" s="9"/>
    </row>
    <row r="16" spans="2:27" x14ac:dyDescent="0.25">
      <c r="P16" s="6"/>
    </row>
    <row r="17" spans="16:16" x14ac:dyDescent="0.25">
      <c r="P17" s="6"/>
    </row>
    <row r="18" spans="16:16" x14ac:dyDescent="0.25">
      <c r="P18" s="6"/>
    </row>
    <row r="19" spans="16:16" x14ac:dyDescent="0.25">
      <c r="P19" s="6"/>
    </row>
    <row r="20" spans="16:16" x14ac:dyDescent="0.25">
      <c r="P20" s="6"/>
    </row>
  </sheetData>
  <dataValidations count="2">
    <dataValidation type="list" allowBlank="1" showInputMessage="1" showErrorMessage="1" sqref="D12" xr:uid="{DB113ED5-055B-46EB-B67A-3F29BFDEAF8C}">
      <formula1>$Z$1:$Z$6</formula1>
    </dataValidation>
    <dataValidation type="list" allowBlank="1" showInputMessage="1" showErrorMessage="1" sqref="K12:K16" xr:uid="{C5389C4F-2D55-48FD-85E6-71FA29C16E5F}">
      <formula1>$AA$1:$AA$4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49"/>
  <sheetViews>
    <sheetView showGridLines="0" workbookViewId="0">
      <pane xSplit="3" ySplit="1" topLeftCell="D27" activePane="bottomRight" state="frozen"/>
      <selection pane="topRight" activeCell="D1" sqref="D1"/>
      <selection pane="bottomLeft" activeCell="A2" sqref="A2"/>
      <selection pane="bottomRight" sqref="A1:D49"/>
    </sheetView>
  </sheetViews>
  <sheetFormatPr defaultColWidth="30" defaultRowHeight="15" x14ac:dyDescent="0.25"/>
  <cols>
    <col min="4" max="4" width="23" bestFit="1" customWidth="1"/>
  </cols>
  <sheetData>
    <row r="1" spans="1:4" x14ac:dyDescent="0.25">
      <c r="A1" s="1" t="s">
        <v>0</v>
      </c>
      <c r="B1" s="1" t="s">
        <v>1</v>
      </c>
      <c r="C1" s="1" t="s">
        <v>23</v>
      </c>
      <c r="D1" s="1" t="s">
        <v>18</v>
      </c>
    </row>
    <row r="2" spans="1:4" x14ac:dyDescent="0.25">
      <c r="A2" s="2" t="s">
        <v>2</v>
      </c>
      <c r="B2" s="2" t="s">
        <v>3</v>
      </c>
      <c r="C2" s="2" t="s">
        <v>19</v>
      </c>
      <c r="D2" s="2">
        <v>2.8</v>
      </c>
    </row>
    <row r="3" spans="1:4" x14ac:dyDescent="0.25">
      <c r="A3" s="2" t="s">
        <v>2</v>
      </c>
      <c r="B3" s="2" t="s">
        <v>4</v>
      </c>
      <c r="C3" s="2" t="s">
        <v>19</v>
      </c>
      <c r="D3" s="2">
        <v>4.2</v>
      </c>
    </row>
    <row r="4" spans="1:4" x14ac:dyDescent="0.25">
      <c r="A4" s="2" t="s">
        <v>5</v>
      </c>
      <c r="B4" s="2" t="s">
        <v>6</v>
      </c>
      <c r="C4" s="2" t="s">
        <v>19</v>
      </c>
      <c r="D4" s="2">
        <v>1.02</v>
      </c>
    </row>
    <row r="5" spans="1:4" x14ac:dyDescent="0.25">
      <c r="A5" s="2" t="s">
        <v>5</v>
      </c>
      <c r="B5" s="2" t="s">
        <v>7</v>
      </c>
      <c r="C5" s="2" t="s">
        <v>19</v>
      </c>
      <c r="D5" s="2">
        <v>0.05</v>
      </c>
    </row>
    <row r="6" spans="1:4" x14ac:dyDescent="0.25">
      <c r="A6" s="2" t="s">
        <v>8</v>
      </c>
      <c r="B6" s="2" t="s">
        <v>9</v>
      </c>
      <c r="C6" s="2" t="s">
        <v>19</v>
      </c>
      <c r="D6" s="2">
        <v>0.8</v>
      </c>
    </row>
    <row r="7" spans="1:4" x14ac:dyDescent="0.25">
      <c r="A7" s="2" t="s">
        <v>8</v>
      </c>
      <c r="B7" s="2" t="s">
        <v>10</v>
      </c>
      <c r="C7" s="2" t="s">
        <v>19</v>
      </c>
      <c r="D7" s="2">
        <v>0.1</v>
      </c>
    </row>
    <row r="8" spans="1:4" x14ac:dyDescent="0.25">
      <c r="A8" s="2" t="s">
        <v>8</v>
      </c>
      <c r="B8" s="2" t="s">
        <v>11</v>
      </c>
      <c r="C8" s="2" t="s">
        <v>19</v>
      </c>
      <c r="D8" s="2">
        <v>0.05</v>
      </c>
    </row>
    <row r="9" spans="1:4" x14ac:dyDescent="0.25">
      <c r="A9" s="2" t="s">
        <v>8</v>
      </c>
      <c r="B9" s="2" t="s">
        <v>12</v>
      </c>
      <c r="C9" s="2" t="s">
        <v>19</v>
      </c>
      <c r="D9" s="2">
        <v>0.05</v>
      </c>
    </row>
    <row r="10" spans="1:4" x14ac:dyDescent="0.25">
      <c r="A10" s="2" t="s">
        <v>13</v>
      </c>
      <c r="B10" s="2" t="s">
        <v>14</v>
      </c>
      <c r="C10" s="2" t="s">
        <v>19</v>
      </c>
      <c r="D10" s="2">
        <v>0.6</v>
      </c>
    </row>
    <row r="11" spans="1:4" x14ac:dyDescent="0.25">
      <c r="A11" s="2" t="s">
        <v>13</v>
      </c>
      <c r="B11" s="2" t="s">
        <v>15</v>
      </c>
      <c r="C11" s="2" t="s">
        <v>19</v>
      </c>
      <c r="D11" s="2">
        <v>1.35</v>
      </c>
    </row>
    <row r="12" spans="1:4" x14ac:dyDescent="0.25">
      <c r="A12" s="2" t="s">
        <v>16</v>
      </c>
      <c r="B12" s="2" t="s">
        <v>14</v>
      </c>
      <c r="C12" s="2" t="s">
        <v>19</v>
      </c>
      <c r="D12" s="2">
        <v>0.8</v>
      </c>
    </row>
    <row r="13" spans="1:4" x14ac:dyDescent="0.25">
      <c r="A13" s="2" t="s">
        <v>16</v>
      </c>
      <c r="B13" s="2" t="s">
        <v>17</v>
      </c>
      <c r="C13" s="2" t="s">
        <v>19</v>
      </c>
      <c r="D13" s="2">
        <v>0.9</v>
      </c>
    </row>
    <row r="14" spans="1:4" x14ac:dyDescent="0.25">
      <c r="A14" s="2" t="s">
        <v>2</v>
      </c>
      <c r="B14" s="2" t="s">
        <v>3</v>
      </c>
      <c r="C14" s="2" t="s">
        <v>20</v>
      </c>
      <c r="D14" s="2">
        <v>2.65</v>
      </c>
    </row>
    <row r="15" spans="1:4" x14ac:dyDescent="0.25">
      <c r="A15" s="2" t="s">
        <v>2</v>
      </c>
      <c r="B15" s="2" t="s">
        <v>4</v>
      </c>
      <c r="C15" s="2" t="s">
        <v>20</v>
      </c>
      <c r="D15" s="2">
        <v>3.82</v>
      </c>
    </row>
    <row r="16" spans="1:4" x14ac:dyDescent="0.25">
      <c r="A16" s="2" t="s">
        <v>5</v>
      </c>
      <c r="B16" s="2" t="s">
        <v>6</v>
      </c>
      <c r="C16" s="2" t="s">
        <v>20</v>
      </c>
      <c r="D16" s="2">
        <v>0.8</v>
      </c>
    </row>
    <row r="17" spans="1:4" x14ac:dyDescent="0.25">
      <c r="A17" s="2" t="s">
        <v>5</v>
      </c>
      <c r="B17" s="2" t="s">
        <v>7</v>
      </c>
      <c r="C17" s="2" t="s">
        <v>20</v>
      </c>
      <c r="D17" s="2">
        <v>0</v>
      </c>
    </row>
    <row r="18" spans="1:4" x14ac:dyDescent="0.25">
      <c r="A18" s="2" t="s">
        <v>8</v>
      </c>
      <c r="B18" s="2" t="s">
        <v>9</v>
      </c>
      <c r="C18" s="2" t="s">
        <v>20</v>
      </c>
      <c r="D18" s="2">
        <v>0.98</v>
      </c>
    </row>
    <row r="19" spans="1:4" x14ac:dyDescent="0.25">
      <c r="A19" s="2" t="s">
        <v>8</v>
      </c>
      <c r="B19" s="2" t="s">
        <v>10</v>
      </c>
      <c r="C19" s="2" t="s">
        <v>20</v>
      </c>
      <c r="D19" s="2">
        <v>0.05</v>
      </c>
    </row>
    <row r="20" spans="1:4" x14ac:dyDescent="0.25">
      <c r="A20" s="2" t="s">
        <v>8</v>
      </c>
      <c r="B20" s="2" t="s">
        <v>11</v>
      </c>
      <c r="C20" s="2" t="s">
        <v>20</v>
      </c>
      <c r="D20" s="2">
        <v>0.03</v>
      </c>
    </row>
    <row r="21" spans="1:4" x14ac:dyDescent="0.25">
      <c r="A21" s="2" t="s">
        <v>8</v>
      </c>
      <c r="B21" s="2" t="s">
        <v>12</v>
      </c>
      <c r="C21" s="2" t="s">
        <v>20</v>
      </c>
      <c r="D21" s="2">
        <v>0.03</v>
      </c>
    </row>
    <row r="22" spans="1:4" x14ac:dyDescent="0.25">
      <c r="A22" s="2" t="s">
        <v>13</v>
      </c>
      <c r="B22" s="2" t="s">
        <v>14</v>
      </c>
      <c r="C22" s="2" t="s">
        <v>20</v>
      </c>
      <c r="D22" s="2">
        <v>0.95</v>
      </c>
    </row>
    <row r="23" spans="1:4" x14ac:dyDescent="0.25">
      <c r="A23" s="2" t="s">
        <v>13</v>
      </c>
      <c r="B23" s="2" t="s">
        <v>15</v>
      </c>
      <c r="C23" s="2" t="s">
        <v>20</v>
      </c>
      <c r="D23" s="2">
        <v>1.48</v>
      </c>
    </row>
    <row r="24" spans="1:4" x14ac:dyDescent="0.25">
      <c r="A24" s="2" t="s">
        <v>16</v>
      </c>
      <c r="B24" s="2" t="s">
        <v>14</v>
      </c>
      <c r="C24" s="2" t="s">
        <v>20</v>
      </c>
      <c r="D24" s="2">
        <v>0.92</v>
      </c>
    </row>
    <row r="25" spans="1:4" x14ac:dyDescent="0.25">
      <c r="A25" s="2" t="s">
        <v>16</v>
      </c>
      <c r="B25" s="2" t="s">
        <v>17</v>
      </c>
      <c r="C25" s="2" t="s">
        <v>20</v>
      </c>
      <c r="D25" s="2">
        <v>1.25</v>
      </c>
    </row>
    <row r="26" spans="1:4" x14ac:dyDescent="0.25">
      <c r="A26" s="2" t="s">
        <v>2</v>
      </c>
      <c r="B26" s="2" t="s">
        <v>3</v>
      </c>
      <c r="C26" s="2" t="s">
        <v>21</v>
      </c>
      <c r="D26" s="2">
        <v>3.45</v>
      </c>
    </row>
    <row r="27" spans="1:4" x14ac:dyDescent="0.25">
      <c r="A27" s="2" t="s">
        <v>2</v>
      </c>
      <c r="B27" s="2" t="s">
        <v>4</v>
      </c>
      <c r="C27" s="2" t="s">
        <v>21</v>
      </c>
      <c r="D27" s="2">
        <v>4.22</v>
      </c>
    </row>
    <row r="28" spans="1:4" x14ac:dyDescent="0.25">
      <c r="A28" s="2" t="s">
        <v>5</v>
      </c>
      <c r="B28" s="2" t="s">
        <v>6</v>
      </c>
      <c r="C28" s="2" t="s">
        <v>21</v>
      </c>
      <c r="D28" s="2">
        <v>0.85</v>
      </c>
    </row>
    <row r="29" spans="1:4" x14ac:dyDescent="0.25">
      <c r="A29" s="2" t="s">
        <v>5</v>
      </c>
      <c r="B29" s="2" t="s">
        <v>7</v>
      </c>
      <c r="C29" s="2" t="s">
        <v>21</v>
      </c>
      <c r="D29" s="2">
        <v>0.01</v>
      </c>
    </row>
    <row r="30" spans="1:4" x14ac:dyDescent="0.25">
      <c r="A30" s="2" t="s">
        <v>8</v>
      </c>
      <c r="B30" s="2" t="s">
        <v>9</v>
      </c>
      <c r="C30" s="2" t="s">
        <v>21</v>
      </c>
      <c r="D30" s="2">
        <v>0.95</v>
      </c>
    </row>
    <row r="31" spans="1:4" x14ac:dyDescent="0.25">
      <c r="A31" s="2" t="s">
        <v>8</v>
      </c>
      <c r="B31" s="2" t="s">
        <v>10</v>
      </c>
      <c r="C31" s="2" t="s">
        <v>21</v>
      </c>
      <c r="D31" s="2">
        <v>0.05</v>
      </c>
    </row>
    <row r="32" spans="1:4" x14ac:dyDescent="0.25">
      <c r="A32" s="2" t="s">
        <v>8</v>
      </c>
      <c r="B32" s="2" t="s">
        <v>11</v>
      </c>
      <c r="C32" s="2" t="s">
        <v>21</v>
      </c>
      <c r="D32" s="2">
        <v>0.02</v>
      </c>
    </row>
    <row r="33" spans="1:4" x14ac:dyDescent="0.25">
      <c r="A33" s="2" t="s">
        <v>8</v>
      </c>
      <c r="B33" s="2" t="s">
        <v>12</v>
      </c>
      <c r="C33" s="2" t="s">
        <v>21</v>
      </c>
      <c r="D33" s="2">
        <v>0.02</v>
      </c>
    </row>
    <row r="34" spans="1:4" x14ac:dyDescent="0.25">
      <c r="A34" s="2" t="s">
        <v>13</v>
      </c>
      <c r="B34" s="2" t="s">
        <v>14</v>
      </c>
      <c r="C34" s="2" t="s">
        <v>21</v>
      </c>
      <c r="D34" s="2">
        <v>1.2</v>
      </c>
    </row>
    <row r="35" spans="1:4" x14ac:dyDescent="0.25">
      <c r="A35" s="2" t="s">
        <v>13</v>
      </c>
      <c r="B35" s="2" t="s">
        <v>15</v>
      </c>
      <c r="C35" s="2" t="s">
        <v>21</v>
      </c>
      <c r="D35" s="2">
        <v>1.52</v>
      </c>
    </row>
    <row r="36" spans="1:4" x14ac:dyDescent="0.25">
      <c r="A36" s="2" t="s">
        <v>16</v>
      </c>
      <c r="B36" s="2" t="s">
        <v>14</v>
      </c>
      <c r="C36" s="2" t="s">
        <v>21</v>
      </c>
      <c r="D36" s="2">
        <v>0.95</v>
      </c>
    </row>
    <row r="37" spans="1:4" x14ac:dyDescent="0.25">
      <c r="A37" s="2" t="s">
        <v>16</v>
      </c>
      <c r="B37" s="2" t="s">
        <v>17</v>
      </c>
      <c r="C37" s="2" t="s">
        <v>21</v>
      </c>
      <c r="D37" s="2">
        <v>1.22</v>
      </c>
    </row>
    <row r="38" spans="1:4" x14ac:dyDescent="0.25">
      <c r="A38" s="2" t="s">
        <v>2</v>
      </c>
      <c r="B38" s="2" t="s">
        <v>3</v>
      </c>
      <c r="C38" s="2" t="s">
        <v>22</v>
      </c>
      <c r="D38" s="2">
        <v>2.44</v>
      </c>
    </row>
    <row r="39" spans="1:4" x14ac:dyDescent="0.25">
      <c r="A39" s="2" t="s">
        <v>2</v>
      </c>
      <c r="B39" s="2" t="s">
        <v>4</v>
      </c>
      <c r="C39" s="2" t="s">
        <v>22</v>
      </c>
      <c r="D39" s="2">
        <v>3.25</v>
      </c>
    </row>
    <row r="40" spans="1:4" x14ac:dyDescent="0.25">
      <c r="A40" s="2" t="s">
        <v>5</v>
      </c>
      <c r="B40" s="2" t="s">
        <v>6</v>
      </c>
      <c r="C40" s="2" t="s">
        <v>22</v>
      </c>
      <c r="D40" s="2">
        <v>0.65</v>
      </c>
    </row>
    <row r="41" spans="1:4" x14ac:dyDescent="0.25">
      <c r="A41" s="2" t="s">
        <v>5</v>
      </c>
      <c r="B41" s="2" t="s">
        <v>7</v>
      </c>
      <c r="C41" s="2" t="s">
        <v>22</v>
      </c>
      <c r="D41" s="2">
        <v>0</v>
      </c>
    </row>
    <row r="42" spans="1:4" x14ac:dyDescent="0.25">
      <c r="A42" s="2" t="s">
        <v>8</v>
      </c>
      <c r="B42" s="2" t="s">
        <v>9</v>
      </c>
      <c r="C42" s="2" t="s">
        <v>22</v>
      </c>
      <c r="D42" s="2">
        <v>0.7</v>
      </c>
    </row>
    <row r="43" spans="1:4" x14ac:dyDescent="0.25">
      <c r="A43" s="2" t="s">
        <v>8</v>
      </c>
      <c r="B43" s="2" t="s">
        <v>10</v>
      </c>
      <c r="C43" s="2" t="s">
        <v>22</v>
      </c>
      <c r="D43" s="2">
        <v>0.1</v>
      </c>
    </row>
    <row r="44" spans="1:4" x14ac:dyDescent="0.25">
      <c r="A44" s="2" t="s">
        <v>8</v>
      </c>
      <c r="B44" s="2" t="s">
        <v>11</v>
      </c>
      <c r="C44" s="2" t="s">
        <v>22</v>
      </c>
      <c r="D44" s="2">
        <v>0.1</v>
      </c>
    </row>
    <row r="45" spans="1:4" x14ac:dyDescent="0.25">
      <c r="A45" s="2" t="s">
        <v>8</v>
      </c>
      <c r="B45" s="2" t="s">
        <v>12</v>
      </c>
      <c r="C45" s="2" t="s">
        <v>22</v>
      </c>
      <c r="D45" s="2">
        <v>0.1</v>
      </c>
    </row>
    <row r="46" spans="1:4" x14ac:dyDescent="0.25">
      <c r="A46" s="2" t="s">
        <v>13</v>
      </c>
      <c r="B46" s="2" t="s">
        <v>14</v>
      </c>
      <c r="C46" s="2" t="s">
        <v>22</v>
      </c>
      <c r="D46" s="2">
        <v>1.5</v>
      </c>
    </row>
    <row r="47" spans="1:4" x14ac:dyDescent="0.25">
      <c r="A47" s="2" t="s">
        <v>13</v>
      </c>
      <c r="B47" s="2" t="s">
        <v>15</v>
      </c>
      <c r="C47" s="2" t="s">
        <v>22</v>
      </c>
      <c r="D47" s="2">
        <v>0.8</v>
      </c>
    </row>
    <row r="48" spans="1:4" x14ac:dyDescent="0.25">
      <c r="A48" s="2" t="s">
        <v>16</v>
      </c>
      <c r="B48" s="2" t="s">
        <v>14</v>
      </c>
      <c r="C48" s="2" t="s">
        <v>22</v>
      </c>
      <c r="D48" s="2">
        <v>0.8</v>
      </c>
    </row>
    <row r="49" spans="1:4" x14ac:dyDescent="0.25">
      <c r="A49" s="2" t="s">
        <v>16</v>
      </c>
      <c r="B49" s="2" t="s">
        <v>17</v>
      </c>
      <c r="C49" s="2" t="s">
        <v>22</v>
      </c>
      <c r="D49" s="2">
        <v>0.65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6DC9-A2E4-4D11-B8C1-0710C9A7055D}">
  <sheetPr codeName="Sheet5"/>
  <dimension ref="A1:C9"/>
  <sheetViews>
    <sheetView workbookViewId="0"/>
  </sheetViews>
  <sheetFormatPr defaultRowHeight="15" x14ac:dyDescent="0.25"/>
  <sheetData>
    <row r="1" spans="1:3" x14ac:dyDescent="0.25">
      <c r="A1" t="s">
        <v>33</v>
      </c>
      <c r="B1" t="s">
        <v>34</v>
      </c>
      <c r="C1" t="s">
        <v>35</v>
      </c>
    </row>
    <row r="2" spans="1:3" x14ac:dyDescent="0.25">
      <c r="A2" t="s">
        <v>2</v>
      </c>
      <c r="B2" t="s">
        <v>3</v>
      </c>
      <c r="C2" t="s">
        <v>19</v>
      </c>
    </row>
    <row r="3" spans="1:3" x14ac:dyDescent="0.25">
      <c r="A3" t="s">
        <v>2</v>
      </c>
      <c r="B3" t="s">
        <v>4</v>
      </c>
      <c r="C3" t="s">
        <v>19</v>
      </c>
    </row>
    <row r="4" spans="1:3" x14ac:dyDescent="0.25">
      <c r="A4" t="s">
        <v>2</v>
      </c>
      <c r="B4" t="s">
        <v>3</v>
      </c>
      <c r="C4" t="s">
        <v>20</v>
      </c>
    </row>
    <row r="5" spans="1:3" x14ac:dyDescent="0.25">
      <c r="A5" t="s">
        <v>2</v>
      </c>
      <c r="B5" t="s">
        <v>4</v>
      </c>
      <c r="C5" t="s">
        <v>20</v>
      </c>
    </row>
    <row r="6" spans="1:3" x14ac:dyDescent="0.25">
      <c r="A6" t="s">
        <v>2</v>
      </c>
      <c r="B6" t="s">
        <v>3</v>
      </c>
      <c r="C6" t="s">
        <v>21</v>
      </c>
    </row>
    <row r="7" spans="1:3" x14ac:dyDescent="0.25">
      <c r="A7" t="s">
        <v>2</v>
      </c>
      <c r="B7" t="s">
        <v>4</v>
      </c>
      <c r="C7" t="s">
        <v>21</v>
      </c>
    </row>
    <row r="8" spans="1:3" x14ac:dyDescent="0.25">
      <c r="A8" t="s">
        <v>2</v>
      </c>
      <c r="B8" t="s">
        <v>3</v>
      </c>
      <c r="C8" t="s">
        <v>22</v>
      </c>
    </row>
    <row r="9" spans="1:3" x14ac:dyDescent="0.25">
      <c r="A9" t="s">
        <v>2</v>
      </c>
      <c r="B9" t="s">
        <v>4</v>
      </c>
      <c r="C9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Using Formulas</vt:lpstr>
      <vt:lpstr>WS</vt:lpstr>
      <vt:lpstr>Using Macros</vt:lpstr>
      <vt:lpstr>Raw Data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Dilip Rao</dc:creator>
  <cp:lastModifiedBy>Sundar, Aathiyappa  (CTR)</cp:lastModifiedBy>
  <dcterms:created xsi:type="dcterms:W3CDTF">2023-07-17T08:11:37Z</dcterms:created>
  <dcterms:modified xsi:type="dcterms:W3CDTF">2025-10-30T14:41:40Z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